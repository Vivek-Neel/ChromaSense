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500" firstSheet="0" activeTab="0" autoFilterDateGrouping="1"/>
  </bookViews>
  <sheets>
    <sheet xmlns:r="http://schemas.openxmlformats.org/officeDocument/2006/relationships" name="BOM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#,##0.00&quot; €&quot;"/>
    <numFmt numFmtId="165" formatCode="#,##0.000&quot; €&quot;"/>
  </numFmts>
  <fonts count="10">
    <font>
      <name val="Calibri"/>
      <charset val="1"/>
      <family val="2"/>
      <color theme="1"/>
      <sz val="11"/>
    </font>
    <font>
      <name val="Arial"/>
      <charset val="1"/>
      <b val="1"/>
      <color rgb="FFFFFFFF"/>
      <sz val="16"/>
    </font>
    <font>
      <name val="Arial"/>
      <charset val="1"/>
      <color rgb="FF888888"/>
      <sz val="10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color rgb="FF0563C1"/>
      <sz val="9"/>
      <u val="single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12"/>
    </font>
    <font>
      <name val="Arial"/>
      <charset val="1"/>
      <i val="1"/>
      <color rgb="FF888888"/>
      <sz val="9"/>
    </font>
    <font>
      <name val="Calibri"/>
      <charset val="1"/>
      <family val="2"/>
      <color theme="10"/>
      <sz val="11"/>
      <u val="single"/>
    </font>
  </fonts>
  <fills count="6">
    <fill>
      <patternFill/>
    </fill>
    <fill>
      <patternFill patternType="gray125"/>
    </fill>
    <fill>
      <patternFill patternType="solid">
        <fgColor rgb="FF1A1A1A"/>
        <bgColor rgb="FF333300"/>
      </patternFill>
    </fill>
    <fill>
      <patternFill patternType="solid">
        <fgColor rgb="FFED8C00"/>
        <bgColor rgb="FFFF6600"/>
      </patternFill>
    </fill>
    <fill>
      <patternFill patternType="solid">
        <fgColor rgb="FFF5F5F5"/>
        <bgColor rgb="FFFFFFFF"/>
      </patternFill>
    </fill>
    <fill>
      <patternFill patternType="solid">
        <fgColor rgb="FFFFFFFF"/>
        <bgColor rgb="FFF5F5F5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</borders>
  <cellStyleXfs count="2">
    <xf numFmtId="0" fontId="0" fillId="0" borderId="0"/>
    <xf numFmtId="0" fontId="9" fillId="0" borderId="0"/>
  </cellStyleXfs>
  <cellXfs count="23">
    <xf numFmtId="0" fontId="0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vertical="center" wrapText="1"/>
    </xf>
    <xf numFmtId="164" fontId="4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vertical="center" wrapText="1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center" wrapText="1"/>
    </xf>
    <xf numFmtId="164" fontId="4" fillId="5" borderId="1" applyAlignment="1" pivotButton="0" quotePrefix="0" xfId="0">
      <alignment horizontal="right" vertical="center"/>
    </xf>
    <xf numFmtId="0" fontId="5" fillId="5" borderId="1" applyAlignment="1" pivotButton="0" quotePrefix="0" xfId="0">
      <alignment vertical="center" wrapText="1"/>
    </xf>
    <xf numFmtId="164" fontId="7" fillId="3" borderId="1" applyAlignment="1" pivotButton="0" quotePrefix="0" xfId="0">
      <alignment horizontal="right" vertical="center"/>
    </xf>
    <xf numFmtId="0" fontId="0" fillId="3" borderId="1" pivotButton="0" quotePrefix="0" xfId="0"/>
    <xf numFmtId="0" fontId="9" fillId="4" borderId="1" applyAlignment="1" pivotButton="0" quotePrefix="0" xfId="1">
      <alignment vertical="center" wrapText="1"/>
    </xf>
    <xf numFmtId="0" fontId="9" fillId="5" borderId="1" applyAlignment="1" pivotButton="0" quotePrefix="0" xfId="1">
      <alignment vertical="center" wrapText="1"/>
    </xf>
    <xf numFmtId="0" fontId="9" fillId="5" borderId="1" applyAlignment="1" pivotButton="0" quotePrefix="0" xfId="0">
      <alignment vertical="center" wrapText="1"/>
    </xf>
    <xf numFmtId="0" fontId="9" fillId="4" borderId="1" applyAlignment="1" pivotButton="0" quotePrefix="0" xfId="0">
      <alignment vertical="center" wrapText="1"/>
    </xf>
    <xf numFmtId="0" fontId="8" fillId="0" borderId="0" applyAlignment="1" pivotButton="0" quotePrefix="0" xfId="0">
      <alignment vertical="top" wrapText="1"/>
    </xf>
    <xf numFmtId="0" fontId="0" fillId="0" borderId="0" pivotButton="0" quotePrefix="0" xfId="0"/>
    <xf numFmtId="0" fontId="6" fillId="3" borderId="2" applyAlignment="1" pivotButton="0" quotePrefix="0" xfId="0">
      <alignment horizontal="right" vertical="center"/>
    </xf>
    <xf numFmtId="0" fontId="0" fillId="0" borderId="3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165" fontId="4" fillId="4" borderId="1" applyAlignment="1" pivotButton="0" quotePrefix="0" xfId="0">
      <alignment horizontal="right"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5F5F5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ED8C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u.mouser.com/ProductDetail/ams-OSRAM/TCS35303-2M?qs=mELouGlnn3fDaav70DI0sw%3D%3D" TargetMode="External" Id="rId1"/><Relationship Type="http://schemas.openxmlformats.org/officeDocument/2006/relationships/hyperlink" Target="https://ams-osram.com/de/products/sensor-solutions/ambient-light-color-spectral-proximity-sensors/ams-tcs3530-true-color-sensor-with-flicker-detection" TargetMode="External" Id="rId2"/><Relationship Type="http://schemas.openxmlformats.org/officeDocument/2006/relationships/hyperlink" Target="https://de.farnell.com/en-DE/ams-osram-group/tcs35303-2m/colour-sensor-1-7-to-1-98v-olga/dp/4332688" TargetMode="External" Id="rId3"/><Relationship Type="http://schemas.openxmlformats.org/officeDocument/2006/relationships/hyperlink" Target="https://eu.mouser.com/ProductDetail/KYOCERA-AVX/KGM05AR51A105KN?qs=Jm2GQyTW%2FbiJyQ6VgfJuDw%3D%3D" TargetMode="External" Id="rId4"/><Relationship Type="http://schemas.openxmlformats.org/officeDocument/2006/relationships/hyperlink" Target="https://docs.m5stack.com/en/module/extport_for_core2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6"/>
  <sheetViews>
    <sheetView tabSelected="1" zoomScaleNormal="100" workbookViewId="0">
      <pane ySplit="4" topLeftCell="A5" activePane="bottomLeft" state="frozen"/>
      <selection pane="bottomLeft" activeCell="I22" sqref="I22"/>
    </sheetView>
  </sheetViews>
  <sheetFormatPr baseColWidth="8" defaultColWidth="8.7109375" defaultRowHeight="15"/>
  <cols>
    <col width="4" customWidth="1" style="17" min="1" max="1"/>
    <col width="36" customWidth="1" style="17" min="2" max="2"/>
    <col width="22" customWidth="1" style="17" min="3" max="3"/>
    <col width="6" customWidth="1" style="17" min="4" max="4"/>
    <col width="14" customWidth="1" style="17" min="5" max="5"/>
    <col width="12" customWidth="1" style="17" min="6" max="6"/>
    <col width="20" customWidth="1" style="17" min="7" max="7"/>
    <col width="45" customWidth="1" style="17" min="8" max="10"/>
  </cols>
  <sheetData>
    <row r="1" ht="36" customHeight="1" s="17">
      <c r="A1" s="20" t="inlineStr">
        <is>
          <t>ChromaSense — Bill of Materials</t>
        </is>
      </c>
    </row>
    <row r="2" ht="19.5" customHeight="1" s="17">
      <c r="A2" s="21" t="inlineStr">
        <is>
          <t>Project: Remote Color Sensor  |  OTH Regensburg — Faculty ANK  |  Supervisor: Prof. Johannes Wild</t>
        </is>
      </c>
    </row>
    <row r="3" ht="7.5" customHeight="1" s="17"/>
    <row r="4" ht="21.75" customHeight="1" s="17">
      <c r="A4" s="1" t="inlineStr">
        <is>
          <t>#</t>
        </is>
      </c>
      <c r="B4" s="1" t="inlineStr">
        <is>
          <t>Component / Item</t>
        </is>
      </c>
      <c r="C4" s="1" t="inlineStr">
        <is>
          <t>Part Number</t>
        </is>
      </c>
      <c r="D4" s="1" t="inlineStr">
        <is>
          <t>Qty</t>
        </is>
      </c>
      <c r="E4" s="1" t="inlineStr">
        <is>
          <t>Unit Price (€)</t>
        </is>
      </c>
      <c r="F4" s="1" t="inlineStr">
        <is>
          <t>Total (€)</t>
        </is>
      </c>
      <c r="G4" s="1" t="inlineStr">
        <is>
          <t>Supplier</t>
        </is>
      </c>
      <c r="H4" s="1" t="inlineStr">
        <is>
          <t>Order Link 1</t>
        </is>
      </c>
      <c r="I4" s="1" t="inlineStr">
        <is>
          <t>Order Link 2</t>
        </is>
      </c>
      <c r="J4" s="1" t="inlineStr">
        <is>
          <t>Order Link 3</t>
        </is>
      </c>
    </row>
    <row r="5" ht="39.75" customHeight="1" s="17">
      <c r="A5" s="2" t="n">
        <v>1</v>
      </c>
      <c r="B5" s="3" t="inlineStr">
        <is>
          <t>Ams Osram TCS35303-2M
XYZ Tristimulus Ambient Light Sensor IC</t>
        </is>
      </c>
      <c r="C5" s="2" t="inlineStr">
        <is>
          <t>TCS35303-2M</t>
        </is>
      </c>
      <c r="D5" s="2" t="n">
        <v>3</v>
      </c>
      <c r="E5" s="4" t="n">
        <v>8.5</v>
      </c>
      <c r="F5" s="4">
        <f>D5*E5</f>
        <v/>
      </c>
      <c r="G5" s="3" t="inlineStr">
        <is>
          <t>Mouser / Digi-Key / Farnell</t>
        </is>
      </c>
      <c r="H5" s="12" t="inlineStr">
        <is>
          <t>https://eu.mouser.com/ProductDetail/ams-OSRAM/TCS35303-2M?qs=mELouGlnn3fDaav70DI0sw%3D%3D</t>
        </is>
      </c>
      <c r="I5" s="12" t="inlineStr">
        <is>
          <t>https://ams-osram.com/de/products/sensor-solutions/ambient-light-color-spectral-proximity-sensors/ams-tcs3530-true-color-sensor-with-flicker-detection</t>
        </is>
      </c>
      <c r="J5" s="12" t="inlineStr">
        <is>
          <t>https://de.farnell.com/en-DE/ams-osram-group/tcs35303-2m/colour-sensor-1-7-to-1-98v-olga/dp/4332688</t>
        </is>
      </c>
    </row>
    <row r="6" ht="39.75" customHeight="1" s="17">
      <c r="A6" s="6" t="n">
        <v>2</v>
      </c>
      <c r="B6" s="7" t="inlineStr">
        <is>
          <t>AP2112K-1.8TRG1
1.8 V LDO Voltage Regulator (SOT-23-5)</t>
        </is>
      </c>
      <c r="C6" s="6" t="inlineStr">
        <is>
          <t>AP2112K-1.8TRG1</t>
        </is>
      </c>
      <c r="D6" s="6" t="n">
        <v>2</v>
      </c>
      <c r="E6" s="8" t="n">
        <v>0.45</v>
      </c>
      <c r="F6" s="8">
        <f>D6*E6</f>
        <v/>
      </c>
      <c r="G6" s="3" t="inlineStr">
        <is>
          <t>Mouser / Digi-Key / Farnell</t>
        </is>
      </c>
      <c r="H6" s="9" t="inlineStr">
        <is>
          <t>https://eu.mouser.com/ProductDetail/Diodes-Incorporated/AP2112K-1.8TRG1?qs=x6A8l6qLYDBx1xhw8AX2cw%3D%3D</t>
        </is>
      </c>
      <c r="I6" s="9" t="inlineStr">
        <is>
          <t>https://www.digikey.de/de/products/detail/diodes-incorporated/AP2112K-1-8TRG1/4470745</t>
        </is>
      </c>
      <c r="J6" s="9" t="inlineStr">
        <is>
          <t>https://de.farnell.com/diodes-inc/ap2112k-1-8trg1/ldo-festsp-regl-1-8v-0-6a-40-bis/dp/3482764</t>
        </is>
      </c>
    </row>
    <row r="7" ht="39.75" customHeight="1" s="17">
      <c r="A7" s="2" t="n">
        <v>3</v>
      </c>
      <c r="B7" s="3" t="inlineStr">
        <is>
          <t xml:space="preserve">MLCC 4.7 µF / 10 V / X5R / 0402
Decoupling capacitor </t>
        </is>
      </c>
      <c r="C7" s="2" t="inlineStr">
        <is>
          <t>GRM155R61A475ME15D</t>
        </is>
      </c>
      <c r="D7" s="2" t="n">
        <v>10</v>
      </c>
      <c r="E7" s="4" t="n">
        <v>0.06</v>
      </c>
      <c r="F7" s="4">
        <f>D7*E7</f>
        <v/>
      </c>
      <c r="G7" s="3" t="inlineStr">
        <is>
          <t>Mouser / Digi-Key / Reichelt</t>
        </is>
      </c>
      <c r="H7" s="5" t="inlineStr">
        <is>
          <t>https://eu.mouser.com/ProductDetail/TAIYO-YUDEN/MLASL105BB5475MFNB33?qs=tlsG%2FOw5FFjA1%252BwfadnU2A%3D%3D</t>
        </is>
      </c>
      <c r="I7" s="5" t="inlineStr">
        <is>
          <t>https://www.reichelt.de/de/de/shop/produkt/mlcc_0402_4_7uf_10_v_x5r_-20_-411511</t>
        </is>
      </c>
      <c r="J7" s="5" t="inlineStr">
        <is>
          <t>https://de.farnell.com/multicomp-pro/0402x475k100ct/kondensator-4-7uf-10v-mlcc-0402/dp/3764112</t>
        </is>
      </c>
    </row>
    <row r="8" ht="39.75" customHeight="1" s="17">
      <c r="A8" s="6" t="n">
        <v>4</v>
      </c>
      <c r="B8" s="7" t="inlineStr">
        <is>
          <t xml:space="preserve">MLCC 1 µF / 10 V / X5R / 0402
Decoupling capacitor </t>
        </is>
      </c>
      <c r="C8" s="6" t="inlineStr">
        <is>
          <t>GRM155R61A105KE15D</t>
        </is>
      </c>
      <c r="D8" s="6" t="n">
        <v>10</v>
      </c>
      <c r="E8" s="8" t="n">
        <v>0.04</v>
      </c>
      <c r="F8" s="8">
        <f>D8*E8</f>
        <v/>
      </c>
      <c r="G8" s="7" t="inlineStr">
        <is>
          <t>Mouser / Digi-Key / Reichelt</t>
        </is>
      </c>
      <c r="H8" s="9" t="inlineStr">
        <is>
          <t>https://eu.mouser.com/ProductDetail/KYOCERA-AVX/KGM05AR51A105KN?qs=Jm2GQyTW%2FbiJyQ6VgfJuDw%3D%3D</t>
        </is>
      </c>
      <c r="I8" s="9" t="inlineStr">
        <is>
          <t>https://www.reichelt.de/de/de/shop/produkt/mlcc_0402_10uf_10_v_x5r_-20_-411507</t>
        </is>
      </c>
      <c r="J8" s="13" t="inlineStr">
        <is>
          <t>https://eu.mouser.com/ProductDetail/KYOCERA-AVX/KGM05AR51A105KN?qs=Jm2GQyTW%2FbiJyQ6VgfJuDw%3D%3D</t>
        </is>
      </c>
    </row>
    <row r="9" ht="39.75" customHeight="1" s="17">
      <c r="A9" s="2" t="n">
        <v>5</v>
      </c>
      <c r="B9" s="3" t="inlineStr">
        <is>
          <t>MLCC 100 nF / 16 V / X7R / 0402
Decoupling capacitor (1.8 V rail)</t>
        </is>
      </c>
      <c r="C9" s="2" t="inlineStr">
        <is>
          <t>GRM155R71C104KA88D</t>
        </is>
      </c>
      <c r="D9" s="2" t="n">
        <v>100</v>
      </c>
      <c r="E9" s="22" t="n">
        <v>0.005</v>
      </c>
      <c r="F9" s="4">
        <f>D9*E9</f>
        <v/>
      </c>
      <c r="G9" s="3" t="inlineStr">
        <is>
          <t>LCSC</t>
        </is>
      </c>
      <c r="H9" s="5" t="inlineStr">
        <is>
          <t>https://www.lcsc.com/product-detail/C71629.html</t>
        </is>
      </c>
      <c r="I9" s="5" t="n"/>
      <c r="J9" s="15" t="n"/>
    </row>
    <row r="10" ht="39.75" customHeight="1" s="17">
      <c r="A10" s="6" t="n">
        <v>6</v>
      </c>
      <c r="B10" s="7" t="inlineStr">
        <is>
          <t>Grove HY2.0-4P Connector
I²C interface to M5Stack Core2</t>
        </is>
      </c>
      <c r="C10" s="6" t="inlineStr">
        <is>
          <t>HY2.0-4P (SMD)</t>
        </is>
      </c>
      <c r="D10" s="6" t="n">
        <v>3</v>
      </c>
      <c r="E10" s="8" t="n">
        <v>0.35</v>
      </c>
      <c r="F10" s="8">
        <f>D10*E10</f>
        <v/>
      </c>
      <c r="G10" s="7" t="inlineStr">
        <is>
          <t>Eckstein / Berrybase / M5Stack</t>
        </is>
      </c>
      <c r="H10" s="9" t="inlineStr">
        <is>
          <t>https://eckstein-shop.de/M5Stack-Grove-to-4-Pin-Connector-10pcs-EN</t>
        </is>
      </c>
      <c r="I10" s="9" t="inlineStr">
        <is>
          <t>https://www.berrybase.de/m5stack-connector-grove-to-4-pin-10-stueck</t>
        </is>
      </c>
      <c r="J10" s="13" t="inlineStr">
        <is>
          <t>https://docs.m5stack.com/en/module/extport_for_core2</t>
        </is>
      </c>
    </row>
    <row r="11" ht="39.75" customHeight="1" s="17">
      <c r="A11" s="2" t="n">
        <v>7</v>
      </c>
      <c r="B11" s="3" t="inlineStr">
        <is>
          <t>M5Stack Core2
ESP32 IoT Development Kit (compute + display + battery platform)</t>
        </is>
      </c>
      <c r="C11" s="2" t="inlineStr">
        <is>
          <t>M5Stack Core2 v1.1</t>
        </is>
      </c>
      <c r="D11" s="2" t="n">
        <v>1</v>
      </c>
      <c r="E11" s="4" t="n">
        <v>50</v>
      </c>
      <c r="F11" s="4">
        <f>D11*E11</f>
        <v/>
      </c>
      <c r="G11" s="3" t="inlineStr">
        <is>
          <t>M5Stack (official)</t>
        </is>
      </c>
      <c r="H11" s="5" t="inlineStr">
        <is>
          <t>https://shop.m5stack.com/products/m5stack-core2-esp32-iot-development-kit</t>
        </is>
      </c>
      <c r="I11" s="5" t="inlineStr">
        <is>
          <t>https://docs.m5stack.com/en/core/core2</t>
        </is>
      </c>
      <c r="J11" s="15" t="n"/>
    </row>
    <row r="12" ht="39.75" customHeight="1" s="17">
      <c r="A12" s="6" t="n">
        <v>8</v>
      </c>
      <c r="B12" s="7" t="inlineStr">
        <is>
          <t>PCB Fabrication — ChromaSense Breakout
2-layer, 25×30 mm, 5 pcs, DRC clean, incl. shipping</t>
        </is>
      </c>
      <c r="C12" s="6" t="inlineStr">
        <is>
          <t>JLCPCB 2-layer PCB</t>
        </is>
      </c>
      <c r="D12" s="6" t="n">
        <v>5</v>
      </c>
      <c r="E12" s="8" t="n">
        <v>3</v>
      </c>
      <c r="F12" s="8">
        <f>D12*E12</f>
        <v/>
      </c>
      <c r="G12" s="7" t="inlineStr">
        <is>
          <t>JLCPCB</t>
        </is>
      </c>
      <c r="H12" s="9" t="inlineStr">
        <is>
          <t>https://jlcpcb.com/</t>
        </is>
      </c>
      <c r="I12" s="9" t="n"/>
      <c r="J12" s="14" t="n"/>
    </row>
    <row r="13" ht="36" customHeight="1" s="17">
      <c r="A13" s="18" t="inlineStr">
        <is>
          <t>ESTIMATED TOTAL (excl. shipping)</t>
        </is>
      </c>
      <c r="B13" s="19" t="n"/>
      <c r="C13" s="19" t="n"/>
      <c r="D13" s="19" t="n"/>
      <c r="E13" s="19" t="n"/>
      <c r="F13" s="10">
        <f>SUM(F5:F12)</f>
        <v/>
      </c>
      <c r="G13" s="11" t="n"/>
      <c r="H13" s="11" t="n"/>
      <c r="I13" s="11" t="n"/>
      <c r="J13" s="11" t="n"/>
    </row>
    <row r="14" s="17"/>
    <row r="15" s="17"/>
    <row r="16" s="17">
      <c r="A16" s="16" t="n"/>
    </row>
  </sheetData>
  <mergeCells count="4">
    <mergeCell ref="A1:I1"/>
    <mergeCell ref="A2:I2"/>
    <mergeCell ref="A13:E13"/>
    <mergeCell ref="A16:I16"/>
  </mergeCells>
  <hyperlinks>
    <hyperlink xmlns:r="http://schemas.openxmlformats.org/officeDocument/2006/relationships" ref="H5" r:id="rId1"/>
    <hyperlink xmlns:r="http://schemas.openxmlformats.org/officeDocument/2006/relationships" ref="I5" r:id="rId2"/>
    <hyperlink xmlns:r="http://schemas.openxmlformats.org/officeDocument/2006/relationships" ref="J5" r:id="rId3"/>
    <hyperlink xmlns:r="http://schemas.openxmlformats.org/officeDocument/2006/relationships" ref="J8" r:id="rId4"/>
    <hyperlink xmlns:r="http://schemas.openxmlformats.org/officeDocument/2006/relationships" ref="J9" r:id="rId5"/>
  </hyperlink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2026-04-03T10:21:53Z</dcterms:created>
  <dcterms:modified xmlns:dcterms="http://purl.org/dc/terms/" xmlns:xsi="http://www.w3.org/2001/XMLSchema-instance" xsi:type="dcterms:W3CDTF">2026-10-16T11:33:36Z</dcterms:modified>
  <cp:lastModifiedBy>Vivek Wilson Neelamkavil</cp:lastModifiedBy>
  <cp:revision>0</cp:revision>
</cp:coreProperties>
</file>