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vek\Desktop\"/>
    </mc:Choice>
  </mc:AlternateContent>
  <xr:revisionPtr revIDLastSave="0" documentId="13_ncr:1_{740121D0-E35D-4983-AFFB-BDD36D39F9C0}" xr6:coauthVersionLast="47" xr6:coauthVersionMax="47" xr10:uidLastSave="{00000000-0000-0000-0000-000000000000}"/>
  <bookViews>
    <workbookView xWindow="4200" yWindow="4200" windowWidth="28800" windowHeight="15225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</calcChain>
</file>

<file path=xl/sharedStrings.xml><?xml version="1.0" encoding="utf-8"?>
<sst xmlns="http://schemas.openxmlformats.org/spreadsheetml/2006/main" count="43" uniqueCount="40">
  <si>
    <t>ChromaSense — Bill of Materials</t>
  </si>
  <si>
    <t>Project: Remote Color Sensor  |  OTH Regensburg — Faculty ANK  |  Supervisor: Prof. Johannes Wild</t>
  </si>
  <si>
    <t>#</t>
  </si>
  <si>
    <t>Component / Item</t>
  </si>
  <si>
    <t>Part Number</t>
  </si>
  <si>
    <t>Qty</t>
  </si>
  <si>
    <t>Unit Price (€)</t>
  </si>
  <si>
    <t>Total (€)</t>
  </si>
  <si>
    <t>Supplier</t>
  </si>
  <si>
    <t>Order Link 1</t>
  </si>
  <si>
    <t>Order Link 2</t>
  </si>
  <si>
    <t>Order Link 3</t>
  </si>
  <si>
    <t>Ams Osram TCS35303-2M
XYZ Tristimulus Ambient Light Sensor IC</t>
  </si>
  <si>
    <t>TCS35303-2M</t>
  </si>
  <si>
    <t>Mouser / Digi-Key / Farnell</t>
  </si>
  <si>
    <t>AP2112K-1.8TRG1
1.8 V LDO Voltage Regulator (SOT-23-5)</t>
  </si>
  <si>
    <t>AP2112K-1.8TRG1</t>
  </si>
  <si>
    <t>Mouser / Digi-Key / Reichelt</t>
  </si>
  <si>
    <t>GRM155R61A475ME15D</t>
  </si>
  <si>
    <t>GRM155R61A105KE15D</t>
  </si>
  <si>
    <t>Grove HY2.0-4P Connector
I²C interface to M5Stack Core2</t>
  </si>
  <si>
    <t>HY2.0-4P (SMD)</t>
  </si>
  <si>
    <t>ESTIMATED TOTAL (excl. shipping)</t>
  </si>
  <si>
    <t>https://eu.mouser.com/ProductDetail/ams-OSRAM/TCS35303-2M?qs=mELouGlnn3fDaav70DI0sw%3D%3D</t>
  </si>
  <si>
    <t>https://ams-osram.com/de/products/sensor-solutions/ambient-light-color-spectral-proximity-sensors/ams-tcs3530-true-color-sensor-with-flicker-detection</t>
  </si>
  <si>
    <t>https://de.farnell.com/en-DE/ams-osram-group/tcs35303-2m/colour-sensor-1-7-to-1-98v-olga/dp/4332688</t>
  </si>
  <si>
    <t>https://eu.mouser.com/ProductDetail/Diodes-Incorporated/AP2112K-1.8TRG1?qs=x6A8l6qLYDBx1xhw8AX2cw%3D%3D</t>
  </si>
  <si>
    <t>https://www.digikey.de/de/products/detail/diodes-incorporated/AP2112K-1-8TRG1/4470745</t>
  </si>
  <si>
    <t>https://de.farnell.com/diodes-inc/ap2112k-1-8trg1/ldo-festsp-regl-1-8v-0-6a-40-bis/dp/3482764</t>
  </si>
  <si>
    <t>https://eu.mouser.com/ProductDetail/TAIYO-YUDEN/MLASL105BB5475MFNB33?qs=tlsG%2FOw5FFjA1%252BwfadnU2A%3D%3D</t>
  </si>
  <si>
    <t>https://de.farnell.com/multicomp-pro/0402x475k100ct/kondensator-4-7uf-10v-mlcc-0402/dp/3764112</t>
  </si>
  <si>
    <t>https://www.reichelt.de/de/de/shop/produkt/mlcc_0402_4_7uf_10_v_x5r_-20_-411511</t>
  </si>
  <si>
    <t xml:space="preserve">MLCC 4.7 µF / 10 V / X5R / 0402
Decoupling capacitor </t>
  </si>
  <si>
    <t xml:space="preserve">MLCC 1 µF / 10 V / X5R / 0402
Decoupling capacitor </t>
  </si>
  <si>
    <t>https://eu.mouser.com/ProductDetail/KYOCERA-AVX/KGM05AR51A105KN?qs=Jm2GQyTW%2FbiJyQ6VgfJuDw%3D%3D</t>
  </si>
  <si>
    <t>https://www.reichelt.de/de/de/shop/produkt/mlcc_0402_10uf_10_v_x5r_-20_-411507</t>
  </si>
  <si>
    <t>https://eckstein-shop.de/M5Stack-Grove-to-4-Pin-Connector-10pcs-EN</t>
  </si>
  <si>
    <t>https://docs.m5stack.com/en/module/extport_for_core2</t>
  </si>
  <si>
    <t>https://www.berrybase.de/m5stack-connector-grove-to-4-pin-10-stueck</t>
  </si>
  <si>
    <t>Eckstein / Berrybase / M5Stack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</si>
</sst>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88888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u/>
      <sz val="9"/>
      <color rgb="FF0563C1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i/>
      <sz val="9"/>
      <color rgb="FF888888"/>
      <name val="Arial"/>
      <charset val="1"/>
    </font>
    <font>
      <u/>
      <sz val="11"/>
      <color theme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ED8C00"/>
        <bgColor rgb="FFFF660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 wrapText="1"/>
    </xf>
    <xf numFmtId="164" fontId="7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0" fontId="9" fillId="4" borderId="1" xfId="1" applyFill="1" applyBorder="1" applyAlignment="1">
      <alignment vertical="center" wrapText="1"/>
    </xf>
    <xf numFmtId="0" fontId="9" fillId="5" borderId="1" xfId="1" applyFill="1" applyBorder="1" applyAlignment="1">
      <alignment vertical="center" wrapText="1"/>
    </xf>
    <xf numFmtId="0" fontId="1" fillId="2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right" vertical="center"/>
    </xf>
    <xf numFmtId="0" fontId="8" fillId="0" borderId="0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D8C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u.mouser.com/ProductDetail/ams-OSRAM/TCS35303-2M?qs=mELouGlnn3fDaav70DI0sw%3D%3D" TargetMode="External"/><Relationship Id="rId2" Type="http://schemas.openxmlformats.org/officeDocument/2006/relationships/hyperlink" Target="https://docs.m5stack.com/en/module/extport_for_core2" TargetMode="External"/><Relationship Id="rId1" Type="http://schemas.openxmlformats.org/officeDocument/2006/relationships/hyperlink" Target="https://eu.mouser.com/ProductDetail/KYOCERA-AVX/KGM05AR51A105KN?qs=Jm2GQyTW%2FbiJyQ6VgfJuDw%3D%3D" TargetMode="External"/><Relationship Id="rId5" Type="http://schemas.openxmlformats.org/officeDocument/2006/relationships/hyperlink" Target="https://de.farnell.com/en-DE/ams-osram-group/tcs35303-2m/colour-sensor-1-7-to-1-98v-olga/dp/4332688" TargetMode="External"/><Relationship Id="rId4" Type="http://schemas.openxmlformats.org/officeDocument/2006/relationships/hyperlink" Target="https://ams-osram.com/de/products/sensor-solutions/ambient-light-color-spectral-proximity-sensors/ams-tcs3530-true-color-sensor-with-flicker-dete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pane ySplit="4" topLeftCell="A5" activePane="bottomLeft" state="frozen"/>
      <selection pane="bottomLeft" activeCell="I15" sqref="I15"/>
    </sheetView>
  </sheetViews>
  <sheetFormatPr defaultColWidth="8.7109375" defaultRowHeight="15" x14ac:dyDescent="0.25"/>
  <cols>
    <col min="1" max="1" width="4" customWidth="1"/>
    <col min="2" max="2" width="36" customWidth="1"/>
    <col min="3" max="3" width="22" customWidth="1"/>
    <col min="4" max="4" width="6" customWidth="1"/>
    <col min="5" max="5" width="14" customWidth="1"/>
    <col min="6" max="6" width="12" customWidth="1"/>
    <col min="7" max="7" width="20" customWidth="1"/>
    <col min="8" max="10" width="45" customWidth="1"/>
  </cols>
  <sheetData>
    <row r="1" spans="1:10" ht="36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10" ht="19.5" customHeight="1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</row>
    <row r="3" spans="1:10" ht="7.5" customHeight="1" x14ac:dyDescent="0.25"/>
    <row r="4" spans="1:10" ht="21.7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39.75" customHeight="1" x14ac:dyDescent="0.25">
      <c r="A5" s="2">
        <v>1</v>
      </c>
      <c r="B5" s="3" t="s">
        <v>12</v>
      </c>
      <c r="C5" s="2" t="s">
        <v>13</v>
      </c>
      <c r="D5" s="2">
        <v>3</v>
      </c>
      <c r="E5" s="4">
        <v>8.5</v>
      </c>
      <c r="F5" s="4">
        <f>D5*E5</f>
        <v>25.5</v>
      </c>
      <c r="G5" s="3" t="s">
        <v>14</v>
      </c>
      <c r="H5" s="12" t="s">
        <v>23</v>
      </c>
      <c r="I5" s="12" t="s">
        <v>24</v>
      </c>
      <c r="J5" s="12" t="s">
        <v>25</v>
      </c>
    </row>
    <row r="6" spans="1:10" ht="39.75" customHeight="1" x14ac:dyDescent="0.25">
      <c r="A6" s="6">
        <v>2</v>
      </c>
      <c r="B6" s="7" t="s">
        <v>15</v>
      </c>
      <c r="C6" s="6" t="s">
        <v>16</v>
      </c>
      <c r="D6" s="6">
        <v>2</v>
      </c>
      <c r="E6" s="8">
        <v>0.45</v>
      </c>
      <c r="F6" s="8">
        <f>D6*E6</f>
        <v>0.9</v>
      </c>
      <c r="G6" s="3" t="s">
        <v>14</v>
      </c>
      <c r="H6" s="9" t="s">
        <v>26</v>
      </c>
      <c r="I6" s="9" t="s">
        <v>27</v>
      </c>
      <c r="J6" s="9" t="s">
        <v>28</v>
      </c>
    </row>
    <row r="7" spans="1:10" ht="39.75" customHeight="1" x14ac:dyDescent="0.25">
      <c r="A7" s="2">
        <v>3</v>
      </c>
      <c r="B7" s="3" t="s">
        <v>32</v>
      </c>
      <c r="C7" s="2" t="s">
        <v>18</v>
      </c>
      <c r="D7" s="2">
        <v>10</v>
      </c>
      <c r="E7" s="4">
        <v>0.06</v>
      </c>
      <c r="F7" s="4">
        <f>D7*E7</f>
        <v>0.6</v>
      </c>
      <c r="G7" s="3" t="s">
        <v>17</v>
      </c>
      <c r="H7" s="5" t="s">
        <v>29</v>
      </c>
      <c r="I7" s="5" t="s">
        <v>31</v>
      </c>
      <c r="J7" s="5" t="s">
        <v>30</v>
      </c>
    </row>
    <row r="8" spans="1:10" ht="39.75" customHeight="1" x14ac:dyDescent="0.25">
      <c r="A8" s="6">
        <v>4</v>
      </c>
      <c r="B8" s="7" t="s">
        <v>33</v>
      </c>
      <c r="C8" s="6" t="s">
        <v>19</v>
      </c>
      <c r="D8" s="6">
        <v>10</v>
      </c>
      <c r="E8" s="8">
        <v>0.04</v>
      </c>
      <c r="F8" s="8">
        <f>D8*E8</f>
        <v>0.4</v>
      </c>
      <c r="G8" s="7" t="s">
        <v>17</v>
      </c>
      <c r="H8" s="9" t="s">
        <v>34</v>
      </c>
      <c r="I8" s="9" t="s">
        <v>35</v>
      </c>
      <c r="J8" s="13" t="s">
        <v>34</v>
      </c>
    </row>
    <row r="9" spans="1:10" ht="39.75" customHeight="1" x14ac:dyDescent="0.25">
      <c r="A9" s="2">
        <v>5</v>
      </c>
      <c r="B9" s="3" t="s">
        <v>20</v>
      </c>
      <c r="C9" s="2" t="s">
        <v>21</v>
      </c>
      <c r="D9" s="2">
        <v>3</v>
      </c>
      <c r="E9" s="4">
        <v>0.35</v>
      </c>
      <c r="F9" s="4">
        <f>D9*E9</f>
        <v>1.0499999999999998</v>
      </c>
      <c r="G9" s="3" t="s">
        <v>39</v>
      </c>
      <c r="H9" s="5" t="s">
        <v>36</v>
      </c>
      <c r="I9" s="5" t="s">
        <v>38</v>
      </c>
      <c r="J9" s="12" t="s">
        <v>37</v>
      </c>
    </row>
    <row r="10" spans="1:10" ht="27.75" customHeight="1" x14ac:dyDescent="0.25">
      <c r="A10" s="16" t="s">
        <v>22</v>
      </c>
      <c r="B10" s="16"/>
      <c r="C10" s="16"/>
      <c r="D10" s="16"/>
      <c r="E10" s="16"/>
      <c r="F10" s="10">
        <f>SUM(F5:F9)</f>
        <v>28.45</v>
      </c>
      <c r="G10" s="11"/>
      <c r="H10" s="11"/>
      <c r="I10" s="11"/>
      <c r="J10" s="11"/>
    </row>
    <row r="12" spans="1:10" ht="36" customHeight="1" x14ac:dyDescent="0.25"/>
    <row r="13" spans="1:10" x14ac:dyDescent="0.25">
      <c r="A13" s="17"/>
      <c r="B13" s="17"/>
      <c r="C13" s="17"/>
      <c r="D13" s="17"/>
      <c r="E13" s="17"/>
      <c r="F13" s="17"/>
      <c r="G13" s="17"/>
      <c r="H13" s="17"/>
      <c r="I13" s="17"/>
    </row>
  </sheetData>
  <mergeCells count="4">
    <mergeCell ref="A1:I1"/>
    <mergeCell ref="A2:I2"/>
    <mergeCell ref="A10:E10"/>
    <mergeCell ref="A13:I13"/>
  </mergeCells>
  <hyperlinks>
    <hyperlink ref="J8" r:id="rId1" xr:uid="{800F8ACC-4258-4416-9A8D-06242629B88A}"/>
    <hyperlink ref="J9" r:id="rId2" xr:uid="{9138DC97-1239-4A28-951A-177C5303FB7A}"/>
    <hyperlink ref="H5" r:id="rId3" xr:uid="{75FF19BD-BA65-4B97-B4C7-FB520361DB84}"/>
    <hyperlink ref="I5" r:id="rId4" xr:uid="{158F9D31-81DB-41C8-B3FD-55BB9F72F9B5}"/>
    <hyperlink ref="J5" r:id="rId5" xr:uid="{FDEEC28C-0AA1-4B6F-964B-8A27A3C09FD3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Vivek Wilson Neelamkavil</cp:lastModifiedBy>
  <cp:revision>0</cp:revision>
  <dcterms:created xsi:type="dcterms:W3CDTF">2026-04-03T10:21:53Z</dcterms:created>
  <dcterms:modified xsi:type="dcterms:W3CDTF">2026-04-03T11:58:35Z</dcterms:modified>
  <dc:language>en-US</dc:language>
</cp:coreProperties>
</file>